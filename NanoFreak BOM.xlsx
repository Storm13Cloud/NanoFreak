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noFreak" sheetId="1" r:id="rId5"/>
  </sheets>
  <definedNames/>
  <calcPr/>
</workbook>
</file>

<file path=xl/sharedStrings.xml><?xml version="1.0" encoding="utf-8"?>
<sst xmlns="http://schemas.openxmlformats.org/spreadsheetml/2006/main" count="237" uniqueCount="175">
  <si>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</si>
  <si>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</si>
  <si>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</si>
  <si>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</si>
  <si>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</si>
  <si>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</si>
  <si>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</si>
  <si>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</si>
  <si>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BT1</t>
  </si>
  <si>
    <t>Single Cell LiPo</t>
  </si>
  <si>
    <t>Battery:BatteryHolder_Keystone_1042_1x18650</t>
  </si>
  <si>
    <t>https://www.digikey.com/en/products/detail/keystone-electronics/1042/2745668</t>
  </si>
  <si>
    <t>Protected 3500mAh 10A 18650 Button Top</t>
  </si>
  <si>
    <t>https://liionwholesale.com/products/protected-panasonic-sanyo-ncr18650ga-button-top?variant=12534255236</t>
  </si>
  <si>
    <t>C1,C2</t>
  </si>
  <si>
    <t>100nF</t>
  </si>
  <si>
    <t>Capacitor_SMD:C_0603_1608Metric_Pad1.08x0.95mm_HandSolder</t>
  </si>
  <si>
    <t>https://www.digikey.com/en/products/detail/kemet/C0603C104K8RACTU/411094</t>
  </si>
  <si>
    <t>C3,C4</t>
  </si>
  <si>
    <t>2.2nF</t>
  </si>
  <si>
    <t>https://www.digikey.com/en/products/detail/kyocera-avx/KGM15AR71C222KT/1600552</t>
  </si>
  <si>
    <t>C5</t>
  </si>
  <si>
    <t>10µF</t>
  </si>
  <si>
    <t>https://www.digikey.com/en/products/detail/samsung-electro-mechanics/CL10A106KP8NNNC/3886850</t>
  </si>
  <si>
    <t>C6,C9,C10,C18</t>
  </si>
  <si>
    <t>0.1µF</t>
  </si>
  <si>
    <t>https://www.digikey.com/en/products/detail/yageo/CC0603KRX7R7BB104/302822</t>
  </si>
  <si>
    <t>C7,C8</t>
  </si>
  <si>
    <t>2.2µF</t>
  </si>
  <si>
    <t>https://www.digikey.com/en/products/detail/samsung-electro-mechanics/CL10B225KP8NNNC/3886792</t>
  </si>
  <si>
    <t>C11,C13</t>
  </si>
  <si>
    <t>4.7µf</t>
  </si>
  <si>
    <t>https://www.digikey.com/en/products/detail/samsung-electro-mechanics/CL10A475KP8NNNC/3886702</t>
  </si>
  <si>
    <t>C12</t>
  </si>
  <si>
    <t>10µf</t>
  </si>
  <si>
    <t>C14,C15</t>
  </si>
  <si>
    <t>1µf</t>
  </si>
  <si>
    <t>https://www.digikey.com/en/products/detail/samsung-electro-mechanics/CL10B105KP8NNNC/3887604</t>
  </si>
  <si>
    <t>C16,C17</t>
  </si>
  <si>
    <t>0.1µf</t>
  </si>
  <si>
    <t>D1,D2,D3</t>
  </si>
  <si>
    <t>D</t>
  </si>
  <si>
    <t>Diode_SMD:D_0603_1608Metric_Pad1.05x0.95mm_HandSolder</t>
  </si>
  <si>
    <t>https://www.digikey.com/en/products/detail/liteon/LTW-C191DS5/3198814</t>
  </si>
  <si>
    <t>D4</t>
  </si>
  <si>
    <t>D_Schottky</t>
  </si>
  <si>
    <t>https://www.digikey.com/en/products/detail/bourns-inc/CD0603-B0240R/7796827</t>
  </si>
  <si>
    <t>D5,D6,D7</t>
  </si>
  <si>
    <t>LED</t>
  </si>
  <si>
    <t>LED_THT:LED_D3.0mm</t>
  </si>
  <si>
    <t>https://www.digikey.com/en/products/detail/tt-electronics-optek-technology/OVLGC0C6B9/827121</t>
  </si>
  <si>
    <t>J1</t>
  </si>
  <si>
    <t>Audio Out</t>
  </si>
  <si>
    <t>Connector_Audio:Jack_3.5mm_CUI_SJ1-3523N_Horizontal</t>
  </si>
  <si>
    <t>https://www.digikey.com/en/products/detail/same-sky-formerly-cui-devices/SJ1-3523N/738689</t>
  </si>
  <si>
    <t>J2</t>
  </si>
  <si>
    <t>MIDI In</t>
  </si>
  <si>
    <t>J3</t>
  </si>
  <si>
    <t>Micro_SD_Card</t>
  </si>
  <si>
    <t>Connector_Card:microSD_HC_Hirose_DM3AT-SF-PEJM5</t>
  </si>
  <si>
    <t>https://www.digikey.com/en/products/detail/hirose-electric-co-ltd/DM3AT-SF-PEJM5/2533565</t>
  </si>
  <si>
    <t>R1,R2,R3,R4,R5,R6,R18,R22,R23,R24,R25,R26,R27</t>
  </si>
  <si>
    <t>10k</t>
  </si>
  <si>
    <t>Resistor_SMD:R_0603_1608Metric</t>
  </si>
  <si>
    <t>https://www.digikey.com/en/products/detail/yageo/RC0603FR-0710KL/726880</t>
  </si>
  <si>
    <t>R7,R8,R13,R14,R15</t>
  </si>
  <si>
    <t>https://www.digikey.com/en/products/detail/te-connectivity-passive-product/CRGCQ0603F470R/8576286</t>
  </si>
  <si>
    <t>R9,R10,R11</t>
  </si>
  <si>
    <t>https://www.digikey.com/en/products/detail/yageo/RC0603FR-0722RL/727055</t>
  </si>
  <si>
    <t>R12,R19,R28,R29</t>
  </si>
  <si>
    <t>https://www.digikey.com/en/products/detail/te-connectivity-passive-product/CRGCQ0603J220R/8576689</t>
  </si>
  <si>
    <t>R16</t>
  </si>
  <si>
    <t>4k</t>
  </si>
  <si>
    <t>https://www.digikey.com/en/products/detail/yageo/RC0603FR-074K02L/727203</t>
  </si>
  <si>
    <t>R17</t>
  </si>
  <si>
    <t>5.7k 5k-6k</t>
  </si>
  <si>
    <t>https://www.digikey.com/en/products/detail/yageo/RC0603FR-075K62L/727277</t>
  </si>
  <si>
    <t>R20</t>
  </si>
  <si>
    <t>https://www.digikey.com/en/products/detail/stackpole-electronics-inc/RMCF0603FT270R/1713845</t>
  </si>
  <si>
    <t>R21,R30</t>
  </si>
  <si>
    <t>4.7k</t>
  </si>
  <si>
    <t>https://www.digikey.com/en/products/detail/yageo/RC0603FR-074K7L/727212</t>
  </si>
  <si>
    <t>RV1</t>
  </si>
  <si>
    <t>Attack</t>
  </si>
  <si>
    <t>Potentiometer_THT:Potentiometer_Vishay_248GJ-249GJ_Single_Vertical</t>
  </si>
  <si>
    <t>https://www.digikey.com/en/products/detail/bourns-inc/PTV09A-4025U-B103/3781137</t>
  </si>
  <si>
    <t>RV2</t>
  </si>
  <si>
    <t>Decay</t>
  </si>
  <si>
    <t>RV3</t>
  </si>
  <si>
    <t>Sustain</t>
  </si>
  <si>
    <t>RV4</t>
  </si>
  <si>
    <t>Release</t>
  </si>
  <si>
    <t>RV5</t>
  </si>
  <si>
    <t>Cutoff</t>
  </si>
  <si>
    <t>RV6</t>
  </si>
  <si>
    <t>Resonance</t>
  </si>
  <si>
    <t>RV7</t>
  </si>
  <si>
    <t>Volume</t>
  </si>
  <si>
    <t>SW1</t>
  </si>
  <si>
    <t>Control Rotary</t>
  </si>
  <si>
    <t>Rotary_Encoder:RotaryEncoder_Alps_EC11E-Switch_Vertical_H20mm</t>
  </si>
  <si>
    <t>https://www.digikey.com/en/products/detail/alps-alpine/EC11E1820402/21721574</t>
  </si>
  <si>
    <t>SW2</t>
  </si>
  <si>
    <t>Oct +</t>
  </si>
  <si>
    <t>Button_Switch_SMD:SW_Push_1P1T_NO_CK_KMR2</t>
  </si>
  <si>
    <t>https://www.digikey.com/en/products/detail/c-k/Y78B22120FP/2176483</t>
  </si>
  <si>
    <t>SW3</t>
  </si>
  <si>
    <t>Shift Key</t>
  </si>
  <si>
    <t>SW4</t>
  </si>
  <si>
    <t>Oct -</t>
  </si>
  <si>
    <t>SW5</t>
  </si>
  <si>
    <t>Key 1</t>
  </si>
  <si>
    <t>Button_Switch_Keyboard:SW_Cherry_MX_1.00u_PCB</t>
  </si>
  <si>
    <t>~</t>
  </si>
  <si>
    <t>SW6</t>
  </si>
  <si>
    <t>Key 2</t>
  </si>
  <si>
    <t>SW7</t>
  </si>
  <si>
    <t>Key 3</t>
  </si>
  <si>
    <t>SW8</t>
  </si>
  <si>
    <t>Key 4</t>
  </si>
  <si>
    <t>SW9</t>
  </si>
  <si>
    <t>Key 5</t>
  </si>
  <si>
    <t>SW10</t>
  </si>
  <si>
    <t>Key 6</t>
  </si>
  <si>
    <t>SW11</t>
  </si>
  <si>
    <t>Key 7</t>
  </si>
  <si>
    <t>SW12</t>
  </si>
  <si>
    <t>Key 8</t>
  </si>
  <si>
    <t>SW13</t>
  </si>
  <si>
    <t>Key 9</t>
  </si>
  <si>
    <t>SW14</t>
  </si>
  <si>
    <t>Key 10</t>
  </si>
  <si>
    <t>SW15</t>
  </si>
  <si>
    <t>Key 11</t>
  </si>
  <si>
    <t>SW16</t>
  </si>
  <si>
    <t>Key 12</t>
  </si>
  <si>
    <t>SW17</t>
  </si>
  <si>
    <t>Filter Type</t>
  </si>
  <si>
    <t>TH1</t>
  </si>
  <si>
    <t>10k NTC</t>
  </si>
  <si>
    <t>Resistor_SMD:R_0603_1608Metric_Pad0.98x0.95mm_HandSolder</t>
  </si>
  <si>
    <t>https://www.digikey.com/en/products/detail/vishay-beyschlag-draloric-bc-components/NTCLE100E3103JB0/769411</t>
  </si>
  <si>
    <t>U1</t>
  </si>
  <si>
    <t>ESP32-S3-DevKitC</t>
  </si>
  <si>
    <t>PCM_Espressif:ESP32-S3-DevKitC</t>
  </si>
  <si>
    <t>https://www.amazon.com/dp/B0CKXJLP4B</t>
  </si>
  <si>
    <t>U2</t>
  </si>
  <si>
    <t>PCM5102A</t>
  </si>
  <si>
    <t>Package_SO:TSSOP-20_4.4x6.5mm_P0.65mm</t>
  </si>
  <si>
    <t>https://www.digikey.com/en/products/detail/texas-instruments/PCM5102APWR/3727211</t>
  </si>
  <si>
    <t>U3</t>
  </si>
  <si>
    <t>MCP73871</t>
  </si>
  <si>
    <t>Package_DFN_QFN:QFN-20-1EP_4x4mm_P0.5mm_EP2.5x2.5mm</t>
  </si>
  <si>
    <t>https://www.digikey.com/en/products/detail/microchip-technology/MCP73871T-1AAI-ML/7928124</t>
  </si>
  <si>
    <t>U4</t>
  </si>
  <si>
    <t>6N138</t>
  </si>
  <si>
    <t>Package_DIP:DIP-8_W7.62mm</t>
  </si>
  <si>
    <t>https://www.digikey.com/en/products/detail/liteon/6N138/1969179</t>
  </si>
  <si>
    <t>U5</t>
  </si>
  <si>
    <t>MCP23017_SO</t>
  </si>
  <si>
    <t>Package_SO:SOIC-28W_7.5x17.9mm_P1.27mm</t>
  </si>
  <si>
    <t>https://www.digikey.com/en/products/detail/microchip-technology/MCP23017-E-SO/894271</t>
  </si>
  <si>
    <t>U6</t>
  </si>
  <si>
    <t>MCP1700T-3302E/MB</t>
  </si>
  <si>
    <t>Package_TO_SOT_SMD:SOT-89-3</t>
  </si>
  <si>
    <t>https://www.digikey.com/en/products/detail/microchip-technology/MCP1700T-3302E-MB/652678</t>
  </si>
  <si>
    <t>U7</t>
  </si>
  <si>
    <t>THB001P</t>
  </si>
  <si>
    <t>Analog Stick:CNK_THB001P</t>
  </si>
  <si>
    <t>https://www.digikey.com/en/products/detail/c-k/THB001P/11687191?s=N4IgTCBcDaIC4AsBGAGFBGEBdAvkA</t>
  </si>
  <si>
    <t>U8</t>
  </si>
  <si>
    <t>OLED</t>
  </si>
  <si>
    <t>OLED:OLED 128x64</t>
  </si>
  <si>
    <t>https://www.amazon.com/dp/B076PDVFQD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</si>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</sst>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microchip-technology/MCP73871T-1AAI-ML/7928124" TargetMode="External"/><Relationship Id="rId20" Type="http://schemas.openxmlformats.org/officeDocument/2006/relationships/hyperlink" Target="https://www.digikey.com/en/products/detail/yageo/RC0603FR-0722RL/727055" TargetMode="External"/><Relationship Id="rId42" Type="http://schemas.openxmlformats.org/officeDocument/2006/relationships/hyperlink" Target="https://www.digikey.com/en/products/detail/microchip-technology/MCP23017-E-SO/894271" TargetMode="External"/><Relationship Id="rId41" Type="http://schemas.openxmlformats.org/officeDocument/2006/relationships/hyperlink" Target="https://www.digikey.com/en/products/detail/liteon/6N138/1969179" TargetMode="External"/><Relationship Id="rId22" Type="http://schemas.openxmlformats.org/officeDocument/2006/relationships/hyperlink" Target="https://www.digikey.com/en/products/detail/yageo/RC0603FR-074K02L/727203" TargetMode="External"/><Relationship Id="rId44" Type="http://schemas.openxmlformats.org/officeDocument/2006/relationships/hyperlink" Target="https://www.digikey.com/en/products/detail/c-k/THB001P/11687191?s=N4IgTCBcDaIC4AsBGAGFBGEBdAvkA" TargetMode="External"/><Relationship Id="rId21" Type="http://schemas.openxmlformats.org/officeDocument/2006/relationships/hyperlink" Target="https://www.digikey.com/en/products/detail/te-connectivity-passive-product/CRGCQ0603J220R/8576689" TargetMode="External"/><Relationship Id="rId43" Type="http://schemas.openxmlformats.org/officeDocument/2006/relationships/hyperlink" Target="https://www.digikey.com/en/products/detail/microchip-technology/MCP1700T-3302E-MB/652678" TargetMode="External"/><Relationship Id="rId24" Type="http://schemas.openxmlformats.org/officeDocument/2006/relationships/hyperlink" Target="https://www.digikey.com/en/products/detail/stackpole-electronics-inc/RMCF0603FT270R/1713845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www.digikey.com/en/products/detail/yageo/RC0603FR-075K62L/727277" TargetMode="External"/><Relationship Id="rId45" Type="http://schemas.openxmlformats.org/officeDocument/2006/relationships/hyperlink" Target="https://www.amazon.com/dp/B076PDVFQD" TargetMode="External"/><Relationship Id="rId1" Type="http://schemas.openxmlformats.org/officeDocument/2006/relationships/hyperlink" Target="https://www.digikey.com/en/products/detail/keystone-electronics/1042/2745668" TargetMode="External"/><Relationship Id="rId2" Type="http://schemas.openxmlformats.org/officeDocument/2006/relationships/hyperlink" Target="https://liionwholesale.com/products/protected-panasonic-sanyo-ncr18650ga-button-top?variant=12534255236" TargetMode="External"/><Relationship Id="rId3" Type="http://schemas.openxmlformats.org/officeDocument/2006/relationships/hyperlink" Target="https://www.digikey.com/en/products/detail/kemet/C0603C104K8RACTU/411094" TargetMode="External"/><Relationship Id="rId4" Type="http://schemas.openxmlformats.org/officeDocument/2006/relationships/hyperlink" Target="https://www.digikey.com/en/products/detail/kyocera-avx/KGM15AR71C222KT/1600552" TargetMode="External"/><Relationship Id="rId9" Type="http://schemas.openxmlformats.org/officeDocument/2006/relationships/hyperlink" Target="https://www.digikey.com/en/products/detail/samsung-electro-mechanics/CL10A106KP8NNNC/3886850" TargetMode="External"/><Relationship Id="rId26" Type="http://schemas.openxmlformats.org/officeDocument/2006/relationships/hyperlink" Target="https://www.digikey.com/en/products/detail/bourns-inc/PTV09A-4025U-B103/3781137" TargetMode="External"/><Relationship Id="rId25" Type="http://schemas.openxmlformats.org/officeDocument/2006/relationships/hyperlink" Target="https://www.digikey.com/en/products/detail/yageo/RC0603FR-074K7L/727212" TargetMode="External"/><Relationship Id="rId28" Type="http://schemas.openxmlformats.org/officeDocument/2006/relationships/hyperlink" Target="https://www.digikey.com/en/products/detail/bourns-inc/PTV09A-4025U-B103/3781137" TargetMode="External"/><Relationship Id="rId27" Type="http://schemas.openxmlformats.org/officeDocument/2006/relationships/hyperlink" Target="https://www.digikey.com/en/products/detail/bourns-inc/PTV09A-4025U-B103/3781137" TargetMode="External"/><Relationship Id="rId5" Type="http://schemas.openxmlformats.org/officeDocument/2006/relationships/hyperlink" Target="https://www.digikey.com/en/products/detail/samsung-electro-mechanics/CL10A106KP8NNNC/3886850" TargetMode="External"/><Relationship Id="rId6" Type="http://schemas.openxmlformats.org/officeDocument/2006/relationships/hyperlink" Target="https://www.digikey.com/en/products/detail/yageo/CC0603KRX7R7BB104/302822" TargetMode="External"/><Relationship Id="rId29" Type="http://schemas.openxmlformats.org/officeDocument/2006/relationships/hyperlink" Target="https://www.digikey.com/en/products/detail/bourns-inc/PTV09A-4025U-B103/3781137" TargetMode="External"/><Relationship Id="rId7" Type="http://schemas.openxmlformats.org/officeDocument/2006/relationships/hyperlink" Target="https://www.digikey.com/en/products/detail/samsung-electro-mechanics/CL10B225KP8NNNC/3886792" TargetMode="External"/><Relationship Id="rId8" Type="http://schemas.openxmlformats.org/officeDocument/2006/relationships/hyperlink" Target="https://www.digikey.com/en/products/detail/samsung-electro-mechanics/CL10A475KP8NNNC/3886702" TargetMode="External"/><Relationship Id="rId31" Type="http://schemas.openxmlformats.org/officeDocument/2006/relationships/hyperlink" Target="https://www.digikey.com/en/products/detail/bourns-inc/PTV09A-4025U-B103/3781137" TargetMode="External"/><Relationship Id="rId30" Type="http://schemas.openxmlformats.org/officeDocument/2006/relationships/hyperlink" Target="https://www.digikey.com/en/products/detail/bourns-inc/PTV09A-4025U-B103/3781137" TargetMode="External"/><Relationship Id="rId11" Type="http://schemas.openxmlformats.org/officeDocument/2006/relationships/hyperlink" Target="https://www.digikey.com/en/products/detail/yageo/CC0603KRX7R7BB104/302822" TargetMode="External"/><Relationship Id="rId33" Type="http://schemas.openxmlformats.org/officeDocument/2006/relationships/hyperlink" Target="https://www.digikey.com/en/products/detail/alps-alpine/EC11E1820402/21721574" TargetMode="External"/><Relationship Id="rId10" Type="http://schemas.openxmlformats.org/officeDocument/2006/relationships/hyperlink" Target="https://www.digikey.com/en/products/detail/samsung-electro-mechanics/CL10B105KP8NNNC/3887604" TargetMode="External"/><Relationship Id="rId32" Type="http://schemas.openxmlformats.org/officeDocument/2006/relationships/hyperlink" Target="https://www.digikey.com/en/products/detail/bourns-inc/PTV09A-4025U-B103/3781137" TargetMode="External"/><Relationship Id="rId13" Type="http://schemas.openxmlformats.org/officeDocument/2006/relationships/hyperlink" Target="https://www.digikey.com/en/products/detail/bourns-inc/CD0603-B0240R/7796827" TargetMode="External"/><Relationship Id="rId35" Type="http://schemas.openxmlformats.org/officeDocument/2006/relationships/hyperlink" Target="https://www.digikey.com/en/products/detail/c-k/Y78B22120FP/2176483" TargetMode="External"/><Relationship Id="rId12" Type="http://schemas.openxmlformats.org/officeDocument/2006/relationships/hyperlink" Target="https://www.digikey.com/en/products/detail/liteon/LTW-C191DS5/3198814" TargetMode="External"/><Relationship Id="rId34" Type="http://schemas.openxmlformats.org/officeDocument/2006/relationships/hyperlink" Target="https://www.digikey.com/en/products/detail/c-k/Y78B22120FP/2176483" TargetMode="External"/><Relationship Id="rId15" Type="http://schemas.openxmlformats.org/officeDocument/2006/relationships/hyperlink" Target="https://www.digikey.com/en/products/detail/same-sky-formerly-cui-devices/SJ1-3523N/738689" TargetMode="External"/><Relationship Id="rId37" Type="http://schemas.openxmlformats.org/officeDocument/2006/relationships/hyperlink" Target="https://www.digikey.com/en/products/detail/vishay-beyschlag-draloric-bc-components/NTCLE100E3103JB0/769411" TargetMode="External"/><Relationship Id="rId14" Type="http://schemas.openxmlformats.org/officeDocument/2006/relationships/hyperlink" Target="https://www.digikey.com/en/products/detail/tt-electronics-optek-technology/OVLGC0C6B9/827121" TargetMode="External"/><Relationship Id="rId36" Type="http://schemas.openxmlformats.org/officeDocument/2006/relationships/hyperlink" Target="https://www.digikey.com/en/products/detail/c-k/Y78B22120FP/2176483" TargetMode="External"/><Relationship Id="rId17" Type="http://schemas.openxmlformats.org/officeDocument/2006/relationships/hyperlink" Target="https://www.digikey.com/en/products/detail/hirose-electric-co-ltd/DM3AT-SF-PEJM5/2533565" TargetMode="External"/><Relationship Id="rId39" Type="http://schemas.openxmlformats.org/officeDocument/2006/relationships/hyperlink" Target="https://www.digikey.com/en/products/detail/texas-instruments/PCM5102APWR/3727211" TargetMode="External"/><Relationship Id="rId16" Type="http://schemas.openxmlformats.org/officeDocument/2006/relationships/hyperlink" Target="https://www.digikey.com/en/products/detail/same-sky-formerly-cui-devices/SJ1-3523N/738689" TargetMode="External"/><Relationship Id="rId38" Type="http://schemas.openxmlformats.org/officeDocument/2006/relationships/hyperlink" Target="https://www.amazon.com/dp/B0CKXJLP4B" TargetMode="External"/><Relationship Id="rId19" Type="http://schemas.openxmlformats.org/officeDocument/2006/relationships/hyperlink" Target="https://www.digikey.com/en/products/detail/te-connectivity-passive-product/CRGCQ0603F470R/8576286" TargetMode="External"/><Relationship Id="rId18" Type="http://schemas.openxmlformats.org/officeDocument/2006/relationships/hyperlink" Target="https://www.digikey.com/en/products/detail/yageo/RC0603FR-0710KL/726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3.63"/>
    <col customWidth="1" min="3" max="3" width="17.63"/>
    <col customWidth="1" min="4" max="4" width="4.5"/>
    <col customWidth="1" min="5" max="5" width="15.0"/>
    <col customWidth="1" min="6" max="6" width="15.63"/>
    <col customWidth="1" min="7" max="7" width="55.38"/>
    <col customWidth="1" min="8" max="8" width="4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G2" s="1" t="s">
        <v>10</v>
      </c>
      <c r="H2" s="2" t="s">
        <v>11</v>
      </c>
      <c r="I2" s="1">
        <v>4.63</v>
      </c>
      <c r="J2" s="3">
        <f t="shared" ref="J2:J59" si="1">B2*I2</f>
        <v>4.63</v>
      </c>
    </row>
    <row r="3">
      <c r="A3" s="1" t="s">
        <v>8</v>
      </c>
      <c r="B3" s="1">
        <v>1.0</v>
      </c>
      <c r="C3" s="1" t="s">
        <v>9</v>
      </c>
      <c r="G3" s="1" t="s">
        <v>12</v>
      </c>
      <c r="H3" s="2" t="s">
        <v>13</v>
      </c>
      <c r="I3" s="1">
        <v>11.99</v>
      </c>
      <c r="J3" s="3">
        <f t="shared" si="1"/>
        <v>11.99</v>
      </c>
    </row>
    <row r="4">
      <c r="A4" s="1" t="s">
        <v>14</v>
      </c>
      <c r="B4" s="1">
        <v>2.0</v>
      </c>
      <c r="C4" s="1" t="s">
        <v>15</v>
      </c>
      <c r="G4" s="1" t="s">
        <v>16</v>
      </c>
      <c r="H4" s="4" t="s">
        <v>17</v>
      </c>
      <c r="I4" s="1">
        <v>0.04</v>
      </c>
      <c r="J4" s="3">
        <f t="shared" si="1"/>
        <v>0.08</v>
      </c>
    </row>
    <row r="5">
      <c r="A5" s="1" t="s">
        <v>18</v>
      </c>
      <c r="B5" s="1">
        <v>2.0</v>
      </c>
      <c r="C5" s="1" t="s">
        <v>19</v>
      </c>
      <c r="G5" s="1" t="s">
        <v>16</v>
      </c>
      <c r="H5" s="2" t="s">
        <v>20</v>
      </c>
      <c r="I5" s="1">
        <v>0.03</v>
      </c>
      <c r="J5" s="3">
        <f t="shared" si="1"/>
        <v>0.06</v>
      </c>
    </row>
    <row r="6">
      <c r="A6" s="1" t="s">
        <v>21</v>
      </c>
      <c r="B6" s="1">
        <v>1.0</v>
      </c>
      <c r="C6" s="1" t="s">
        <v>22</v>
      </c>
      <c r="G6" s="1" t="s">
        <v>16</v>
      </c>
      <c r="H6" s="2" t="s">
        <v>23</v>
      </c>
      <c r="I6" s="1">
        <v>0.03</v>
      </c>
      <c r="J6" s="3">
        <f t="shared" si="1"/>
        <v>0.03</v>
      </c>
    </row>
    <row r="7">
      <c r="A7" s="1" t="s">
        <v>24</v>
      </c>
      <c r="B7" s="1">
        <v>4.0</v>
      </c>
      <c r="C7" s="1" t="s">
        <v>25</v>
      </c>
      <c r="G7" s="1" t="s">
        <v>16</v>
      </c>
      <c r="H7" s="2" t="s">
        <v>26</v>
      </c>
      <c r="I7" s="1">
        <v>0.06</v>
      </c>
      <c r="J7" s="3">
        <f t="shared" si="1"/>
        <v>0.24</v>
      </c>
    </row>
    <row r="8">
      <c r="A8" s="1" t="s">
        <v>27</v>
      </c>
      <c r="B8" s="1">
        <v>2.0</v>
      </c>
      <c r="C8" s="1" t="s">
        <v>28</v>
      </c>
      <c r="G8" s="1" t="s">
        <v>16</v>
      </c>
      <c r="H8" s="2" t="s">
        <v>29</v>
      </c>
      <c r="I8" s="1">
        <v>0.02</v>
      </c>
      <c r="J8" s="3">
        <f t="shared" si="1"/>
        <v>0.04</v>
      </c>
    </row>
    <row r="9">
      <c r="A9" s="1" t="s">
        <v>30</v>
      </c>
      <c r="B9" s="1">
        <v>2.0</v>
      </c>
      <c r="C9" s="1" t="s">
        <v>31</v>
      </c>
      <c r="G9" s="1" t="s">
        <v>16</v>
      </c>
      <c r="H9" s="2" t="s">
        <v>32</v>
      </c>
      <c r="I9" s="1">
        <v>0.01</v>
      </c>
      <c r="J9" s="3">
        <f t="shared" si="1"/>
        <v>0.02</v>
      </c>
    </row>
    <row r="10">
      <c r="A10" s="1" t="s">
        <v>33</v>
      </c>
      <c r="B10" s="1">
        <v>1.0</v>
      </c>
      <c r="C10" s="1" t="s">
        <v>34</v>
      </c>
      <c r="G10" s="1" t="s">
        <v>16</v>
      </c>
      <c r="H10" s="2" t="s">
        <v>23</v>
      </c>
      <c r="I10" s="1">
        <v>0.03</v>
      </c>
      <c r="J10" s="3">
        <f t="shared" si="1"/>
        <v>0.03</v>
      </c>
    </row>
    <row r="11">
      <c r="A11" s="1" t="s">
        <v>35</v>
      </c>
      <c r="B11" s="1">
        <v>2.0</v>
      </c>
      <c r="C11" s="1" t="s">
        <v>36</v>
      </c>
      <c r="G11" s="1" t="s">
        <v>16</v>
      </c>
      <c r="H11" s="2" t="s">
        <v>37</v>
      </c>
      <c r="I11" s="1">
        <v>0.01</v>
      </c>
      <c r="J11" s="3">
        <f t="shared" si="1"/>
        <v>0.02</v>
      </c>
    </row>
    <row r="12">
      <c r="A12" s="1" t="s">
        <v>38</v>
      </c>
      <c r="B12" s="1">
        <v>2.0</v>
      </c>
      <c r="C12" s="1" t="s">
        <v>39</v>
      </c>
      <c r="G12" s="1" t="s">
        <v>16</v>
      </c>
      <c r="H12" s="2" t="s">
        <v>26</v>
      </c>
      <c r="I12" s="1">
        <v>0.01</v>
      </c>
      <c r="J12" s="3">
        <f t="shared" si="1"/>
        <v>0.02</v>
      </c>
    </row>
    <row r="13">
      <c r="A13" s="1" t="s">
        <v>40</v>
      </c>
      <c r="B13" s="1">
        <v>3.0</v>
      </c>
      <c r="C13" s="1" t="s">
        <v>41</v>
      </c>
      <c r="G13" s="1" t="s">
        <v>42</v>
      </c>
      <c r="H13" s="2" t="s">
        <v>43</v>
      </c>
      <c r="I13" s="1">
        <v>0.2</v>
      </c>
      <c r="J13" s="3">
        <f t="shared" si="1"/>
        <v>0.6</v>
      </c>
    </row>
    <row r="14">
      <c r="A14" s="1" t="s">
        <v>44</v>
      </c>
      <c r="B14" s="1">
        <v>1.0</v>
      </c>
      <c r="C14" s="1" t="s">
        <v>45</v>
      </c>
      <c r="G14" s="1" t="s">
        <v>42</v>
      </c>
      <c r="H14" s="2" t="s">
        <v>46</v>
      </c>
      <c r="I14" s="1">
        <v>0.13</v>
      </c>
      <c r="J14" s="3">
        <f t="shared" si="1"/>
        <v>0.13</v>
      </c>
    </row>
    <row r="15">
      <c r="A15" s="1" t="s">
        <v>47</v>
      </c>
      <c r="B15" s="1">
        <v>3.0</v>
      </c>
      <c r="C15" s="1" t="s">
        <v>48</v>
      </c>
      <c r="G15" s="1" t="s">
        <v>49</v>
      </c>
      <c r="H15" s="2" t="s">
        <v>50</v>
      </c>
      <c r="I15" s="1">
        <v>0.47</v>
      </c>
      <c r="J15" s="3">
        <f t="shared" si="1"/>
        <v>1.41</v>
      </c>
    </row>
    <row r="16">
      <c r="A16" s="1" t="s">
        <v>51</v>
      </c>
      <c r="B16" s="1">
        <v>1.0</v>
      </c>
      <c r="C16" s="1" t="s">
        <v>52</v>
      </c>
      <c r="G16" s="1" t="s">
        <v>53</v>
      </c>
      <c r="H16" s="2" t="s">
        <v>54</v>
      </c>
      <c r="I16" s="1">
        <v>0.7</v>
      </c>
      <c r="J16" s="3">
        <f t="shared" si="1"/>
        <v>0.7</v>
      </c>
    </row>
    <row r="17">
      <c r="A17" s="1" t="s">
        <v>55</v>
      </c>
      <c r="B17" s="1">
        <v>1.0</v>
      </c>
      <c r="C17" s="1" t="s">
        <v>56</v>
      </c>
      <c r="G17" s="1" t="s">
        <v>53</v>
      </c>
      <c r="H17" s="2" t="s">
        <v>54</v>
      </c>
      <c r="I17" s="1">
        <v>0.7</v>
      </c>
      <c r="J17" s="3">
        <f t="shared" si="1"/>
        <v>0.7</v>
      </c>
    </row>
    <row r="18">
      <c r="A18" s="1" t="s">
        <v>57</v>
      </c>
      <c r="B18" s="1">
        <v>1.0</v>
      </c>
      <c r="C18" s="1" t="s">
        <v>58</v>
      </c>
      <c r="G18" s="1" t="s">
        <v>59</v>
      </c>
      <c r="H18" s="2" t="s">
        <v>60</v>
      </c>
      <c r="I18" s="1">
        <v>2.25</v>
      </c>
      <c r="J18" s="3">
        <f t="shared" si="1"/>
        <v>2.25</v>
      </c>
    </row>
    <row r="19">
      <c r="A19" s="1" t="s">
        <v>61</v>
      </c>
      <c r="B19" s="1">
        <v>13.0</v>
      </c>
      <c r="C19" s="1" t="s">
        <v>62</v>
      </c>
      <c r="G19" s="1" t="s">
        <v>63</v>
      </c>
      <c r="H19" s="2" t="s">
        <v>64</v>
      </c>
      <c r="I19" s="1">
        <v>0.05</v>
      </c>
      <c r="J19" s="3">
        <f t="shared" si="1"/>
        <v>0.65</v>
      </c>
    </row>
    <row r="20">
      <c r="A20" s="1" t="s">
        <v>65</v>
      </c>
      <c r="B20" s="1">
        <v>5.0</v>
      </c>
      <c r="C20" s="5">
        <v>470.0</v>
      </c>
      <c r="G20" s="1" t="s">
        <v>63</v>
      </c>
      <c r="H20" s="2" t="s">
        <v>66</v>
      </c>
      <c r="I20" s="1">
        <v>0.02</v>
      </c>
      <c r="J20" s="3">
        <f t="shared" si="1"/>
        <v>0.1</v>
      </c>
    </row>
    <row r="21">
      <c r="A21" s="1" t="s">
        <v>67</v>
      </c>
      <c r="B21" s="1">
        <v>3.0</v>
      </c>
      <c r="C21" s="5">
        <v>22.0</v>
      </c>
      <c r="G21" s="1" t="s">
        <v>63</v>
      </c>
      <c r="H21" s="2" t="s">
        <v>68</v>
      </c>
      <c r="I21" s="1">
        <v>0.01</v>
      </c>
      <c r="J21" s="3">
        <f t="shared" si="1"/>
        <v>0.03</v>
      </c>
    </row>
    <row r="22">
      <c r="A22" s="1" t="s">
        <v>69</v>
      </c>
      <c r="B22" s="1">
        <v>4.0</v>
      </c>
      <c r="C22" s="5">
        <v>220.0</v>
      </c>
      <c r="G22" s="1" t="s">
        <v>63</v>
      </c>
      <c r="H22" s="2" t="s">
        <v>70</v>
      </c>
      <c r="I22" s="1">
        <v>0.01</v>
      </c>
      <c r="J22" s="3">
        <f t="shared" si="1"/>
        <v>0.04</v>
      </c>
    </row>
    <row r="23">
      <c r="A23" s="1" t="s">
        <v>71</v>
      </c>
      <c r="B23" s="1">
        <v>1.0</v>
      </c>
      <c r="C23" s="1" t="s">
        <v>72</v>
      </c>
      <c r="G23" s="1" t="s">
        <v>63</v>
      </c>
      <c r="H23" s="2" t="s">
        <v>73</v>
      </c>
      <c r="I23" s="1">
        <v>0.01</v>
      </c>
      <c r="J23" s="3">
        <f t="shared" si="1"/>
        <v>0.01</v>
      </c>
    </row>
    <row r="24">
      <c r="A24" s="1" t="s">
        <v>74</v>
      </c>
      <c r="B24" s="1">
        <v>1.0</v>
      </c>
      <c r="C24" s="1" t="s">
        <v>75</v>
      </c>
      <c r="G24" s="1" t="s">
        <v>63</v>
      </c>
      <c r="H24" s="2" t="s">
        <v>76</v>
      </c>
      <c r="I24" s="1">
        <v>0.01</v>
      </c>
      <c r="J24" s="3">
        <f t="shared" si="1"/>
        <v>0.01</v>
      </c>
    </row>
    <row r="25">
      <c r="A25" s="1" t="s">
        <v>77</v>
      </c>
      <c r="B25" s="1">
        <v>1.0</v>
      </c>
      <c r="C25" s="5">
        <v>270.0</v>
      </c>
      <c r="G25" s="1" t="s">
        <v>63</v>
      </c>
      <c r="H25" s="2" t="s">
        <v>78</v>
      </c>
      <c r="I25" s="1">
        <v>0.01</v>
      </c>
      <c r="J25" s="3">
        <f t="shared" si="1"/>
        <v>0.01</v>
      </c>
    </row>
    <row r="26">
      <c r="A26" s="1" t="s">
        <v>79</v>
      </c>
      <c r="B26" s="1">
        <v>2.0</v>
      </c>
      <c r="C26" s="1" t="s">
        <v>80</v>
      </c>
      <c r="G26" s="1" t="s">
        <v>63</v>
      </c>
      <c r="H26" s="2" t="s">
        <v>81</v>
      </c>
      <c r="I26" s="1">
        <v>0.01</v>
      </c>
      <c r="J26" s="3">
        <f t="shared" si="1"/>
        <v>0.02</v>
      </c>
    </row>
    <row r="27">
      <c r="A27" s="1" t="s">
        <v>82</v>
      </c>
      <c r="B27" s="1">
        <v>1.0</v>
      </c>
      <c r="C27" s="1" t="s">
        <v>83</v>
      </c>
      <c r="G27" s="1" t="s">
        <v>84</v>
      </c>
      <c r="H27" s="2" t="s">
        <v>85</v>
      </c>
      <c r="I27" s="1">
        <v>0.7</v>
      </c>
      <c r="J27" s="3">
        <f t="shared" si="1"/>
        <v>0.7</v>
      </c>
    </row>
    <row r="28">
      <c r="A28" s="1" t="s">
        <v>86</v>
      </c>
      <c r="B28" s="1">
        <v>1.0</v>
      </c>
      <c r="C28" s="1" t="s">
        <v>87</v>
      </c>
      <c r="G28" s="1" t="s">
        <v>84</v>
      </c>
      <c r="H28" s="2" t="s">
        <v>85</v>
      </c>
      <c r="I28" s="1">
        <v>0.7</v>
      </c>
      <c r="J28" s="3">
        <f t="shared" si="1"/>
        <v>0.7</v>
      </c>
    </row>
    <row r="29">
      <c r="A29" s="1" t="s">
        <v>88</v>
      </c>
      <c r="B29" s="1">
        <v>1.0</v>
      </c>
      <c r="C29" s="1" t="s">
        <v>89</v>
      </c>
      <c r="G29" s="1" t="s">
        <v>84</v>
      </c>
      <c r="H29" s="2" t="s">
        <v>85</v>
      </c>
      <c r="I29" s="1">
        <v>0.7</v>
      </c>
      <c r="J29" s="3">
        <f t="shared" si="1"/>
        <v>0.7</v>
      </c>
    </row>
    <row r="30">
      <c r="A30" s="1" t="s">
        <v>90</v>
      </c>
      <c r="B30" s="1">
        <v>1.0</v>
      </c>
      <c r="C30" s="1" t="s">
        <v>91</v>
      </c>
      <c r="G30" s="1" t="s">
        <v>84</v>
      </c>
      <c r="H30" s="2" t="s">
        <v>85</v>
      </c>
      <c r="I30" s="1">
        <v>0.7</v>
      </c>
      <c r="J30" s="3">
        <f t="shared" si="1"/>
        <v>0.7</v>
      </c>
    </row>
    <row r="31">
      <c r="A31" s="1" t="s">
        <v>92</v>
      </c>
      <c r="B31" s="1">
        <v>1.0</v>
      </c>
      <c r="C31" s="1" t="s">
        <v>93</v>
      </c>
      <c r="G31" s="1" t="s">
        <v>84</v>
      </c>
      <c r="H31" s="2" t="s">
        <v>85</v>
      </c>
      <c r="I31" s="1">
        <v>0.7</v>
      </c>
      <c r="J31" s="3">
        <f t="shared" si="1"/>
        <v>0.7</v>
      </c>
    </row>
    <row r="32">
      <c r="A32" s="1" t="s">
        <v>94</v>
      </c>
      <c r="B32" s="1">
        <v>1.0</v>
      </c>
      <c r="C32" s="1" t="s">
        <v>95</v>
      </c>
      <c r="G32" s="1" t="s">
        <v>84</v>
      </c>
      <c r="H32" s="2" t="s">
        <v>85</v>
      </c>
      <c r="I32" s="1">
        <v>0.7</v>
      </c>
      <c r="J32" s="3">
        <f t="shared" si="1"/>
        <v>0.7</v>
      </c>
    </row>
    <row r="33">
      <c r="A33" s="1" t="s">
        <v>96</v>
      </c>
      <c r="B33" s="1">
        <v>1.0</v>
      </c>
      <c r="C33" s="1" t="s">
        <v>97</v>
      </c>
      <c r="G33" s="1" t="s">
        <v>84</v>
      </c>
      <c r="H33" s="4" t="s">
        <v>85</v>
      </c>
      <c r="I33" s="1">
        <v>0.7</v>
      </c>
      <c r="J33" s="3">
        <f t="shared" si="1"/>
        <v>0.7</v>
      </c>
    </row>
    <row r="34">
      <c r="A34" s="1" t="s">
        <v>98</v>
      </c>
      <c r="B34" s="1">
        <v>1.0</v>
      </c>
      <c r="C34" s="1" t="s">
        <v>99</v>
      </c>
      <c r="G34" s="1" t="s">
        <v>100</v>
      </c>
      <c r="H34" s="2" t="s">
        <v>101</v>
      </c>
      <c r="I34" s="1">
        <v>3.4</v>
      </c>
      <c r="J34" s="3">
        <f t="shared" si="1"/>
        <v>3.4</v>
      </c>
    </row>
    <row r="35">
      <c r="A35" s="1" t="s">
        <v>102</v>
      </c>
      <c r="B35" s="1">
        <v>1.0</v>
      </c>
      <c r="C35" s="1" t="s">
        <v>103</v>
      </c>
      <c r="G35" s="1" t="s">
        <v>104</v>
      </c>
      <c r="H35" s="2" t="s">
        <v>105</v>
      </c>
      <c r="I35" s="1">
        <v>0.47</v>
      </c>
      <c r="J35" s="3">
        <f t="shared" si="1"/>
        <v>0.47</v>
      </c>
    </row>
    <row r="36">
      <c r="A36" s="1" t="s">
        <v>106</v>
      </c>
      <c r="B36" s="1">
        <v>1.0</v>
      </c>
      <c r="C36" s="1" t="s">
        <v>107</v>
      </c>
      <c r="G36" s="1" t="s">
        <v>104</v>
      </c>
      <c r="H36" s="2" t="s">
        <v>105</v>
      </c>
      <c r="I36" s="1">
        <v>0.47</v>
      </c>
      <c r="J36" s="3">
        <f t="shared" si="1"/>
        <v>0.47</v>
      </c>
    </row>
    <row r="37">
      <c r="A37" s="1" t="s">
        <v>108</v>
      </c>
      <c r="B37" s="1">
        <v>1.0</v>
      </c>
      <c r="C37" s="1" t="s">
        <v>109</v>
      </c>
      <c r="G37" s="1" t="s">
        <v>104</v>
      </c>
      <c r="H37" s="2" t="s">
        <v>105</v>
      </c>
      <c r="I37" s="1">
        <v>0.47</v>
      </c>
      <c r="J37" s="3">
        <f t="shared" si="1"/>
        <v>0.47</v>
      </c>
    </row>
    <row r="38">
      <c r="A38" s="1" t="s">
        <v>110</v>
      </c>
      <c r="B38" s="1">
        <v>1.0</v>
      </c>
      <c r="C38" s="1" t="s">
        <v>111</v>
      </c>
      <c r="G38" s="1" t="s">
        <v>112</v>
      </c>
      <c r="H38" s="1" t="s">
        <v>113</v>
      </c>
      <c r="J38" s="3">
        <f t="shared" si="1"/>
        <v>0</v>
      </c>
    </row>
    <row r="39">
      <c r="A39" s="1" t="s">
        <v>114</v>
      </c>
      <c r="B39" s="1">
        <v>1.0</v>
      </c>
      <c r="C39" s="1" t="s">
        <v>115</v>
      </c>
      <c r="G39" s="1" t="s">
        <v>112</v>
      </c>
      <c r="H39" s="1" t="s">
        <v>113</v>
      </c>
      <c r="J39" s="3">
        <f t="shared" si="1"/>
        <v>0</v>
      </c>
    </row>
    <row r="40">
      <c r="A40" s="1" t="s">
        <v>116</v>
      </c>
      <c r="B40" s="1">
        <v>1.0</v>
      </c>
      <c r="C40" s="1" t="s">
        <v>117</v>
      </c>
      <c r="G40" s="1" t="s">
        <v>112</v>
      </c>
      <c r="H40" s="1" t="s">
        <v>113</v>
      </c>
      <c r="J40" s="3">
        <f t="shared" si="1"/>
        <v>0</v>
      </c>
    </row>
    <row r="41">
      <c r="A41" s="1" t="s">
        <v>118</v>
      </c>
      <c r="B41" s="1">
        <v>1.0</v>
      </c>
      <c r="C41" s="1" t="s">
        <v>119</v>
      </c>
      <c r="G41" s="1" t="s">
        <v>112</v>
      </c>
      <c r="H41" s="1" t="s">
        <v>113</v>
      </c>
      <c r="J41" s="3">
        <f t="shared" si="1"/>
        <v>0</v>
      </c>
    </row>
    <row r="42">
      <c r="A42" s="1" t="s">
        <v>120</v>
      </c>
      <c r="B42" s="1">
        <v>1.0</v>
      </c>
      <c r="C42" s="1" t="s">
        <v>121</v>
      </c>
      <c r="G42" s="1" t="s">
        <v>112</v>
      </c>
      <c r="H42" s="1" t="s">
        <v>113</v>
      </c>
      <c r="J42" s="3">
        <f t="shared" si="1"/>
        <v>0</v>
      </c>
    </row>
    <row r="43">
      <c r="A43" s="1" t="s">
        <v>122</v>
      </c>
      <c r="B43" s="1">
        <v>1.0</v>
      </c>
      <c r="C43" s="1" t="s">
        <v>123</v>
      </c>
      <c r="G43" s="1" t="s">
        <v>112</v>
      </c>
      <c r="H43" s="1" t="s">
        <v>113</v>
      </c>
      <c r="J43" s="3">
        <f t="shared" si="1"/>
        <v>0</v>
      </c>
    </row>
    <row r="44">
      <c r="A44" s="1" t="s">
        <v>124</v>
      </c>
      <c r="B44" s="1">
        <v>1.0</v>
      </c>
      <c r="C44" s="1" t="s">
        <v>125</v>
      </c>
      <c r="G44" s="1" t="s">
        <v>112</v>
      </c>
      <c r="H44" s="1" t="s">
        <v>113</v>
      </c>
      <c r="J44" s="3">
        <f t="shared" si="1"/>
        <v>0</v>
      </c>
    </row>
    <row r="45">
      <c r="A45" s="1" t="s">
        <v>126</v>
      </c>
      <c r="B45" s="1">
        <v>1.0</v>
      </c>
      <c r="C45" s="1" t="s">
        <v>127</v>
      </c>
      <c r="G45" s="1" t="s">
        <v>112</v>
      </c>
      <c r="H45" s="1" t="s">
        <v>113</v>
      </c>
      <c r="J45" s="3">
        <f t="shared" si="1"/>
        <v>0</v>
      </c>
    </row>
    <row r="46">
      <c r="A46" s="1" t="s">
        <v>128</v>
      </c>
      <c r="B46" s="1">
        <v>1.0</v>
      </c>
      <c r="C46" s="1" t="s">
        <v>129</v>
      </c>
      <c r="G46" s="1" t="s">
        <v>112</v>
      </c>
      <c r="H46" s="1" t="s">
        <v>113</v>
      </c>
      <c r="J46" s="3">
        <f t="shared" si="1"/>
        <v>0</v>
      </c>
    </row>
    <row r="47">
      <c r="A47" s="1" t="s">
        <v>130</v>
      </c>
      <c r="B47" s="1">
        <v>1.0</v>
      </c>
      <c r="C47" s="1" t="s">
        <v>131</v>
      </c>
      <c r="G47" s="1" t="s">
        <v>112</v>
      </c>
      <c r="H47" s="1" t="s">
        <v>113</v>
      </c>
      <c r="J47" s="3">
        <f t="shared" si="1"/>
        <v>0</v>
      </c>
    </row>
    <row r="48">
      <c r="A48" s="1" t="s">
        <v>132</v>
      </c>
      <c r="B48" s="1">
        <v>1.0</v>
      </c>
      <c r="C48" s="1" t="s">
        <v>133</v>
      </c>
      <c r="G48" s="1" t="s">
        <v>112</v>
      </c>
      <c r="H48" s="1" t="s">
        <v>113</v>
      </c>
      <c r="J48" s="3">
        <f t="shared" si="1"/>
        <v>0</v>
      </c>
    </row>
    <row r="49">
      <c r="A49" s="1" t="s">
        <v>134</v>
      </c>
      <c r="B49" s="1">
        <v>1.0</v>
      </c>
      <c r="C49" s="1" t="s">
        <v>135</v>
      </c>
      <c r="G49" s="1" t="s">
        <v>112</v>
      </c>
      <c r="H49" s="1" t="s">
        <v>113</v>
      </c>
      <c r="J49" s="3">
        <f t="shared" si="1"/>
        <v>0</v>
      </c>
    </row>
    <row r="50">
      <c r="A50" s="1" t="s">
        <v>136</v>
      </c>
      <c r="B50" s="1">
        <v>1.0</v>
      </c>
      <c r="C50" s="1" t="s">
        <v>137</v>
      </c>
      <c r="G50" s="1" t="s">
        <v>104</v>
      </c>
      <c r="H50" s="1" t="s">
        <v>113</v>
      </c>
      <c r="J50" s="3">
        <f t="shared" si="1"/>
        <v>0</v>
      </c>
    </row>
    <row r="51">
      <c r="A51" s="1" t="s">
        <v>138</v>
      </c>
      <c r="B51" s="1">
        <v>1.0</v>
      </c>
      <c r="C51" s="1" t="s">
        <v>139</v>
      </c>
      <c r="G51" s="1" t="s">
        <v>140</v>
      </c>
      <c r="H51" s="2" t="s">
        <v>141</v>
      </c>
      <c r="I51" s="1">
        <v>0.47</v>
      </c>
      <c r="J51" s="3">
        <f t="shared" si="1"/>
        <v>0.47</v>
      </c>
    </row>
    <row r="52">
      <c r="A52" s="1" t="s">
        <v>142</v>
      </c>
      <c r="B52" s="1">
        <v>1.0</v>
      </c>
      <c r="C52" s="1" t="s">
        <v>143</v>
      </c>
      <c r="G52" s="1" t="s">
        <v>144</v>
      </c>
      <c r="H52" s="2" t="s">
        <v>145</v>
      </c>
      <c r="I52" s="1">
        <f>18/3</f>
        <v>6</v>
      </c>
      <c r="J52" s="3">
        <f t="shared" si="1"/>
        <v>6</v>
      </c>
    </row>
    <row r="53">
      <c r="A53" s="1" t="s">
        <v>146</v>
      </c>
      <c r="B53" s="1">
        <v>1.0</v>
      </c>
      <c r="C53" s="1" t="s">
        <v>147</v>
      </c>
      <c r="G53" s="1" t="s">
        <v>148</v>
      </c>
      <c r="H53" s="2" t="s">
        <v>149</v>
      </c>
      <c r="I53" s="1">
        <v>2.99</v>
      </c>
      <c r="J53" s="3">
        <f t="shared" si="1"/>
        <v>2.99</v>
      </c>
    </row>
    <row r="54">
      <c r="A54" s="1" t="s">
        <v>150</v>
      </c>
      <c r="B54" s="1">
        <v>1.0</v>
      </c>
      <c r="C54" s="1" t="s">
        <v>151</v>
      </c>
      <c r="G54" s="1" t="s">
        <v>152</v>
      </c>
      <c r="H54" s="2" t="s">
        <v>153</v>
      </c>
      <c r="I54" s="1">
        <v>2.01</v>
      </c>
      <c r="J54" s="3">
        <f t="shared" si="1"/>
        <v>2.01</v>
      </c>
    </row>
    <row r="55">
      <c r="A55" s="1" t="s">
        <v>154</v>
      </c>
      <c r="B55" s="1">
        <v>1.0</v>
      </c>
      <c r="C55" s="1" t="s">
        <v>155</v>
      </c>
      <c r="G55" s="1" t="s">
        <v>156</v>
      </c>
      <c r="H55" s="2" t="s">
        <v>157</v>
      </c>
      <c r="I55" s="1">
        <v>0.45</v>
      </c>
      <c r="J55" s="3">
        <f t="shared" si="1"/>
        <v>0.45</v>
      </c>
    </row>
    <row r="56">
      <c r="A56" s="1" t="s">
        <v>158</v>
      </c>
      <c r="B56" s="1">
        <v>1.0</v>
      </c>
      <c r="C56" s="1" t="s">
        <v>159</v>
      </c>
      <c r="G56" s="1" t="s">
        <v>160</v>
      </c>
      <c r="H56" s="2" t="s">
        <v>161</v>
      </c>
      <c r="I56" s="1">
        <v>1.35</v>
      </c>
      <c r="J56" s="3">
        <f t="shared" si="1"/>
        <v>1.35</v>
      </c>
    </row>
    <row r="57">
      <c r="A57" s="1" t="s">
        <v>162</v>
      </c>
      <c r="B57" s="1">
        <v>1.0</v>
      </c>
      <c r="C57" s="1" t="s">
        <v>163</v>
      </c>
      <c r="G57" s="1" t="s">
        <v>164</v>
      </c>
      <c r="H57" s="2" t="s">
        <v>165</v>
      </c>
      <c r="I57" s="1">
        <v>0.43</v>
      </c>
      <c r="J57" s="3">
        <f t="shared" si="1"/>
        <v>0.43</v>
      </c>
    </row>
    <row r="58">
      <c r="A58" s="1" t="s">
        <v>166</v>
      </c>
      <c r="B58" s="1">
        <v>1.0</v>
      </c>
      <c r="C58" s="1" t="s">
        <v>167</v>
      </c>
      <c r="G58" s="1" t="s">
        <v>168</v>
      </c>
      <c r="H58" s="2" t="s">
        <v>169</v>
      </c>
      <c r="I58" s="1">
        <v>2.43</v>
      </c>
      <c r="J58" s="3">
        <f t="shared" si="1"/>
        <v>2.43</v>
      </c>
    </row>
    <row r="59">
      <c r="A59" s="1" t="s">
        <v>170</v>
      </c>
      <c r="B59" s="1">
        <v>1.0</v>
      </c>
      <c r="C59" s="1" t="s">
        <v>171</v>
      </c>
      <c r="G59" s="1" t="s">
        <v>172</v>
      </c>
      <c r="H59" s="2" t="s">
        <v>173</v>
      </c>
      <c r="I59" s="3">
        <f>12/3</f>
        <v>4</v>
      </c>
      <c r="J59" s="3">
        <f t="shared" si="1"/>
        <v>4</v>
      </c>
    </row>
    <row r="62">
      <c r="I62" s="1" t="s">
        <v>174</v>
      </c>
      <c r="J62" s="3">
        <f>SUM(J2:J59)</f>
        <v>53.66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51"/>
    <hyperlink r:id="rId38" ref="H52"/>
    <hyperlink r:id="rId39" ref="H53"/>
    <hyperlink r:id="rId40" ref="H54"/>
    <hyperlink r:id="rId41" ref="H55"/>
    <hyperlink r:id="rId42" ref="H56"/>
    <hyperlink r:id="rId43" ref="H57"/>
    <hyperlink r:id="rId44" ref="H58"/>
    <hyperlink r:id="rId45" ref="H59"/>
  </hyperlinks>
  <drawing r:id="rId46"/>
</worksheet>
</file>